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ario" sheetId="1" state="visible" r:id="rId1"/>
    <sheet xmlns:r="http://schemas.openxmlformats.org/officeDocument/2006/relationships" name="Factur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6"/>
    </font>
  </fonts>
  <fills count="3">
    <fill>
      <patternFill/>
    </fill>
    <fill>
      <patternFill patternType="gray125"/>
    </fill>
    <fill>
      <patternFill patternType="solid">
        <fgColor rgb="FFF7F1F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3" fontId="0" fillId="0" borderId="0" pivotButton="0" quotePrefix="0" xfId="0"/>
    <xf numFmtId="3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1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0" fontId="0" fillId="0" borderId="1" applyAlignment="1" pivotButton="0" quotePrefix="0" xfId="0">
      <alignment horizontal="center"/>
    </xf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4" customWidth="1" min="1" max="1"/>
    <col width="42" customWidth="1" min="2" max="2"/>
    <col width="16" customWidth="1" min="3" max="3"/>
    <col width="18" customWidth="1" min="4" max="4"/>
  </cols>
  <sheetData>
    <row r="1">
      <c r="A1" s="1" t="inlineStr">
        <is>
          <t>Codigo</t>
        </is>
      </c>
      <c r="B1" s="1" t="inlineStr">
        <is>
          <t>Articulo</t>
        </is>
      </c>
      <c r="C1" s="1" t="inlineStr">
        <is>
          <t>PrecioUnitario</t>
        </is>
      </c>
      <c r="D1" s="1" t="inlineStr">
        <is>
          <t>CantidadBodega</t>
        </is>
      </c>
    </row>
    <row r="2">
      <c r="A2" t="inlineStr">
        <is>
          <t>KM001</t>
        </is>
      </c>
      <c r="B2" t="inlineStr">
        <is>
          <t>Brochas (10 piezas)</t>
        </is>
      </c>
      <c r="C2" s="2" t="n">
        <v>6500</v>
      </c>
      <c r="D2" s="3" t="n">
        <v>24</v>
      </c>
    </row>
    <row r="3">
      <c r="A3" t="inlineStr">
        <is>
          <t>KM002</t>
        </is>
      </c>
      <c r="B3" t="inlineStr">
        <is>
          <t>Paleta de sombras</t>
        </is>
      </c>
      <c r="C3" s="2" t="n">
        <v>10200</v>
      </c>
      <c r="D3" s="3" t="n">
        <v>28</v>
      </c>
    </row>
    <row r="4">
      <c r="A4" t="inlineStr">
        <is>
          <t>KM003</t>
        </is>
      </c>
      <c r="B4" t="inlineStr">
        <is>
          <t>Iluminador</t>
        </is>
      </c>
      <c r="C4" s="2" t="n">
        <v>3500</v>
      </c>
      <c r="D4" s="3" t="n">
        <v>22</v>
      </c>
    </row>
    <row r="5">
      <c r="A5" t="inlineStr">
        <is>
          <t>KM004</t>
        </is>
      </c>
      <c r="B5" t="inlineStr">
        <is>
          <t>Base</t>
        </is>
      </c>
      <c r="C5" s="2" t="n">
        <v>7300</v>
      </c>
      <c r="D5" s="3" t="n">
        <v>26</v>
      </c>
    </row>
    <row r="6">
      <c r="A6" t="inlineStr">
        <is>
          <t>KM005</t>
        </is>
      </c>
      <c r="B6" t="inlineStr">
        <is>
          <t>Polvos translúcidos</t>
        </is>
      </c>
      <c r="C6" s="2" t="n">
        <v>6500</v>
      </c>
      <c r="D6" s="3" t="n">
        <v>25</v>
      </c>
    </row>
    <row r="7">
      <c r="A7" t="inlineStr">
        <is>
          <t>KM006</t>
        </is>
      </c>
      <c r="B7" t="inlineStr">
        <is>
          <t>Polvos compactos</t>
        </is>
      </c>
      <c r="C7" s="2" t="n">
        <v>7000</v>
      </c>
      <c r="D7" s="3" t="n">
        <v>20</v>
      </c>
    </row>
    <row r="8">
      <c r="A8" t="inlineStr">
        <is>
          <t>KM007</t>
        </is>
      </c>
      <c r="B8" t="inlineStr">
        <is>
          <t>Gel de cejas</t>
        </is>
      </c>
      <c r="C8" s="2" t="n">
        <v>2500</v>
      </c>
      <c r="D8" s="3" t="n">
        <v>30</v>
      </c>
    </row>
    <row r="9">
      <c r="A9" t="inlineStr">
        <is>
          <t>KM008</t>
        </is>
      </c>
      <c r="B9" t="inlineStr">
        <is>
          <t>Gloss</t>
        </is>
      </c>
      <c r="C9" s="2" t="n">
        <v>200</v>
      </c>
      <c r="D9" s="3" t="n">
        <v>40</v>
      </c>
    </row>
    <row r="10">
      <c r="A10" t="inlineStr">
        <is>
          <t>KM009</t>
        </is>
      </c>
      <c r="B10" t="inlineStr">
        <is>
          <t>Hidratante de labios</t>
        </is>
      </c>
      <c r="C10" s="2" t="n">
        <v>1800</v>
      </c>
      <c r="D10" s="3" t="n">
        <v>32</v>
      </c>
    </row>
    <row r="11">
      <c r="A11" t="inlineStr">
        <is>
          <t>KM010</t>
        </is>
      </c>
      <c r="B11" t="inlineStr">
        <is>
          <t>Sellador de maquillaje</t>
        </is>
      </c>
      <c r="C11" s="2" t="n">
        <v>6300</v>
      </c>
      <c r="D11" s="3" t="n">
        <v>18</v>
      </c>
    </row>
    <row r="12">
      <c r="A12" t="inlineStr">
        <is>
          <t>KM011</t>
        </is>
      </c>
      <c r="B12" t="inlineStr">
        <is>
          <t>Corrector</t>
        </is>
      </c>
      <c r="C12" s="2" t="n">
        <v>5500</v>
      </c>
      <c r="D12" s="3" t="n">
        <v>27</v>
      </c>
    </row>
    <row r="13">
      <c r="A13" t="inlineStr">
        <is>
          <t>KM012</t>
        </is>
      </c>
      <c r="B13" t="inlineStr">
        <is>
          <t>Rímel</t>
        </is>
      </c>
      <c r="C13" s="2" t="n">
        <v>4800</v>
      </c>
      <c r="D13" s="3" t="n">
        <v>29</v>
      </c>
    </row>
    <row r="14">
      <c r="A14" t="inlineStr">
        <is>
          <t>KM013</t>
        </is>
      </c>
      <c r="B14" t="inlineStr">
        <is>
          <t>Enchinador</t>
        </is>
      </c>
      <c r="C14" s="2" t="n">
        <v>4300</v>
      </c>
      <c r="D14" s="3" t="n">
        <v>21</v>
      </c>
    </row>
    <row r="15">
      <c r="A15" t="inlineStr">
        <is>
          <t>KM014</t>
        </is>
      </c>
      <c r="B15" t="inlineStr">
        <is>
          <t>Rubor</t>
        </is>
      </c>
      <c r="C15" s="2" t="n">
        <v>4000</v>
      </c>
      <c r="D15" s="3" t="n">
        <v>23</v>
      </c>
    </row>
    <row r="16">
      <c r="A16" t="inlineStr">
        <is>
          <t>KM015</t>
        </is>
      </c>
      <c r="B16" t="inlineStr">
        <is>
          <t>Contorno</t>
        </is>
      </c>
      <c r="C16" s="2" t="n">
        <v>4300</v>
      </c>
      <c r="D16" s="3" t="n">
        <v>19</v>
      </c>
    </row>
    <row r="17">
      <c r="A17" t="inlineStr">
        <is>
          <t>KM016</t>
        </is>
      </c>
      <c r="B17" t="inlineStr">
        <is>
          <t>Labial</t>
        </is>
      </c>
      <c r="C17" s="2" t="n">
        <v>2000</v>
      </c>
      <c r="D17" s="3" t="n">
        <v>35</v>
      </c>
    </row>
    <row r="18">
      <c r="A18" t="inlineStr">
        <is>
          <t>KM017</t>
        </is>
      </c>
      <c r="B18" t="inlineStr">
        <is>
          <t>Delineador</t>
        </is>
      </c>
      <c r="C18" s="2" t="n">
        <v>2100</v>
      </c>
      <c r="D18" s="3" t="n">
        <v>31</v>
      </c>
    </row>
    <row r="19">
      <c r="A19" t="inlineStr">
        <is>
          <t>KM018</t>
        </is>
      </c>
      <c r="B19" t="inlineStr">
        <is>
          <t>Sombra para cejas</t>
        </is>
      </c>
      <c r="C19" s="2" t="n">
        <v>2000</v>
      </c>
      <c r="D19" s="3" t="n">
        <v>33</v>
      </c>
    </row>
    <row r="20">
      <c r="A20" t="inlineStr">
        <is>
          <t>KM019</t>
        </is>
      </c>
      <c r="B20" t="inlineStr">
        <is>
          <t>Pestañas</t>
        </is>
      </c>
      <c r="C20" s="2" t="n">
        <v>2500</v>
      </c>
      <c r="D20" s="3" t="n">
        <v>34</v>
      </c>
    </row>
    <row r="21">
      <c r="A21" t="inlineStr">
        <is>
          <t>KM020</t>
        </is>
      </c>
      <c r="B21" t="inlineStr">
        <is>
          <t>Primer</t>
        </is>
      </c>
      <c r="C21" s="2" t="n">
        <v>4800</v>
      </c>
      <c r="D21" s="3" t="n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4" customWidth="1" min="1" max="1"/>
    <col width="44" customWidth="1" min="2" max="2"/>
    <col width="18" customWidth="1" min="3" max="3"/>
    <col width="12" customWidth="1" min="4" max="4"/>
    <col width="20" customWidth="1" min="5" max="5"/>
  </cols>
  <sheetData>
    <row r="1">
      <c r="A1" s="4" t="inlineStr">
        <is>
          <t>Kissmake-up</t>
        </is>
      </c>
    </row>
    <row r="3">
      <c r="A3" s="5" t="inlineStr">
        <is>
          <t>Factura No.:</t>
        </is>
      </c>
      <c r="B3" t="inlineStr">
        <is>
          <t>KM-000901</t>
        </is>
      </c>
      <c r="D3" s="5" t="inlineStr">
        <is>
          <t>Cliente:</t>
        </is>
      </c>
      <c r="E3" t="inlineStr">
        <is>
          <t>Nombre del Cliente</t>
        </is>
      </c>
    </row>
    <row r="4">
      <c r="A4" s="5" t="inlineStr">
        <is>
          <t>Fecha:</t>
        </is>
      </c>
      <c r="B4" t="inlineStr">
        <is>
          <t>2025-10-30</t>
        </is>
      </c>
      <c r="D4" s="5" t="inlineStr">
        <is>
          <t>Identificación:</t>
        </is>
      </c>
      <c r="E4" t="inlineStr">
        <is>
          <t>Cédula / N°</t>
        </is>
      </c>
    </row>
    <row r="6">
      <c r="A6" s="5" t="inlineStr">
        <is>
          <t>Contacto:</t>
        </is>
      </c>
      <c r="B6" t="inlineStr">
        <is>
          <t>San José, CR • 2222-2222 • ventas@kissmakeup.cr</t>
        </is>
      </c>
    </row>
    <row r="10">
      <c r="A10" s="6" t="inlineStr">
        <is>
          <t>Código</t>
        </is>
      </c>
      <c r="B10" s="6" t="inlineStr">
        <is>
          <t>Artículo</t>
        </is>
      </c>
      <c r="C10" s="6" t="inlineStr">
        <is>
          <t>Precio unitario</t>
        </is>
      </c>
      <c r="D10" s="6" t="inlineStr">
        <is>
          <t>Cantidad</t>
        </is>
      </c>
      <c r="E10" s="6" t="inlineStr">
        <is>
          <t>Importe</t>
        </is>
      </c>
    </row>
    <row r="11">
      <c r="A11" s="7" t="inlineStr"/>
      <c r="B11" s="7">
        <f>SI(A11="";"";BUSCARV(A11;Inventario!$A$2:$C$21;2;FALSO))</f>
        <v/>
      </c>
      <c r="C11" s="8">
        <f>SI(A11="";"";BUSCARV(A11;Inventario!$A$2:$C$21;3;FALSO))</f>
        <v/>
      </c>
      <c r="D11" s="9" t="inlineStr"/>
      <c r="E11" s="8">
        <f>SI(O(C11="";D11="");"";C11*D11)</f>
        <v/>
      </c>
    </row>
    <row r="12">
      <c r="A12" s="7" t="inlineStr"/>
      <c r="B12" s="7">
        <f>SI(A12="";"";BUSCARV(A12;Inventario!$A$2:$C$21;2;FALSO))</f>
        <v/>
      </c>
      <c r="C12" s="8">
        <f>SI(A12="";"";BUSCARV(A12;Inventario!$A$2:$C$21;3;FALSO))</f>
        <v/>
      </c>
      <c r="D12" s="9" t="inlineStr"/>
      <c r="E12" s="8">
        <f>SI(O(C12="";D12="");"";C12*D12)</f>
        <v/>
      </c>
    </row>
    <row r="13">
      <c r="A13" s="7" t="inlineStr"/>
      <c r="B13" s="7">
        <f>SI(A13="";"";BUSCARV(A13;Inventario!$A$2:$C$21;2;FALSO))</f>
        <v/>
      </c>
      <c r="C13" s="8">
        <f>SI(A13="";"";BUSCARV(A13;Inventario!$A$2:$C$21;3;FALSO))</f>
        <v/>
      </c>
      <c r="D13" s="9" t="inlineStr"/>
      <c r="E13" s="8">
        <f>SI(O(C13="";D13="");"";C13*D13)</f>
        <v/>
      </c>
    </row>
    <row r="14">
      <c r="A14" s="7" t="inlineStr"/>
      <c r="B14" s="7">
        <f>SI(A14="";"";BUSCARV(A14;Inventario!$A$2:$C$21;2;FALSO))</f>
        <v/>
      </c>
      <c r="C14" s="8">
        <f>SI(A14="";"";BUSCARV(A14;Inventario!$A$2:$C$21;3;FALSO))</f>
        <v/>
      </c>
      <c r="D14" s="9" t="inlineStr"/>
      <c r="E14" s="8">
        <f>SI(O(C14="";D14="");"";C14*D14)</f>
        <v/>
      </c>
    </row>
    <row r="15">
      <c r="A15" s="7" t="inlineStr"/>
      <c r="B15" s="7">
        <f>SI(A15="";"";BUSCARV(A15;Inventario!$A$2:$C$21;2;FALSO))</f>
        <v/>
      </c>
      <c r="C15" s="8">
        <f>SI(A15="";"";BUSCARV(A15;Inventario!$A$2:$C$21;3;FALSO))</f>
        <v/>
      </c>
      <c r="D15" s="9" t="inlineStr"/>
      <c r="E15" s="8">
        <f>SI(O(C15="";D15="");"";C15*D15)</f>
        <v/>
      </c>
    </row>
    <row r="16">
      <c r="A16" s="7" t="inlineStr"/>
      <c r="B16" s="7">
        <f>SI(A16="";"";BUSCARV(A16;Inventario!$A$2:$C$21;2;FALSO))</f>
        <v/>
      </c>
      <c r="C16" s="8">
        <f>SI(A16="";"";BUSCARV(A16;Inventario!$A$2:$C$21;3;FALSO))</f>
        <v/>
      </c>
      <c r="D16" s="9" t="inlineStr"/>
      <c r="E16" s="8">
        <f>SI(O(C16="";D16="");"";C16*D16)</f>
        <v/>
      </c>
    </row>
    <row r="17">
      <c r="A17" s="7" t="inlineStr"/>
      <c r="B17" s="7">
        <f>SI(A17="";"";BUSCARV(A17;Inventario!$A$2:$C$21;2;FALSO))</f>
        <v/>
      </c>
      <c r="C17" s="8">
        <f>SI(A17="";"";BUSCARV(A17;Inventario!$A$2:$C$21;3;FALSO))</f>
        <v/>
      </c>
      <c r="D17" s="9" t="inlineStr"/>
      <c r="E17" s="8">
        <f>SI(O(C17="";D17="");"";C17*D17)</f>
        <v/>
      </c>
    </row>
    <row r="18">
      <c r="A18" s="7" t="inlineStr"/>
      <c r="B18" s="7">
        <f>SI(A18="";"";BUSCARV(A18;Inventario!$A$2:$C$21;2;FALSO))</f>
        <v/>
      </c>
      <c r="C18" s="8">
        <f>SI(A18="";"";BUSCARV(A18;Inventario!$A$2:$C$21;3;FALSO))</f>
        <v/>
      </c>
      <c r="D18" s="9" t="inlineStr"/>
      <c r="E18" s="8">
        <f>SI(O(C18="";D18="");"";C18*D18)</f>
        <v/>
      </c>
    </row>
    <row r="19">
      <c r="A19" s="7" t="inlineStr"/>
      <c r="B19" s="7">
        <f>SI(A19="";"";BUSCARV(A19;Inventario!$A$2:$C$21;2;FALSO))</f>
        <v/>
      </c>
      <c r="C19" s="8">
        <f>SI(A19="";"";BUSCARV(A19;Inventario!$A$2:$C$21;3;FALSO))</f>
        <v/>
      </c>
      <c r="D19" s="9" t="inlineStr"/>
      <c r="E19" s="8">
        <f>SI(O(C19="";D19="");"";C19*D19)</f>
        <v/>
      </c>
    </row>
    <row r="20">
      <c r="A20" s="7" t="inlineStr"/>
      <c r="B20" s="7">
        <f>SI(A20="";"";BUSCARV(A20;Inventario!$A$2:$C$21;2;FALSO))</f>
        <v/>
      </c>
      <c r="C20" s="8">
        <f>SI(A20="";"";BUSCARV(A20;Inventario!$A$2:$C$21;3;FALSO))</f>
        <v/>
      </c>
      <c r="D20" s="9" t="inlineStr"/>
      <c r="E20" s="8">
        <f>SI(O(C20="";D20="");"";C20*D20)</f>
        <v/>
      </c>
    </row>
    <row r="21">
      <c r="A21" s="7" t="inlineStr"/>
      <c r="B21" s="7">
        <f>SI(A21="";"";BUSCARV(A21;Inventario!$A$2:$C$21;2;FALSO))</f>
        <v/>
      </c>
      <c r="C21" s="8">
        <f>SI(A21="";"";BUSCARV(A21;Inventario!$A$2:$C$21;3;FALSO))</f>
        <v/>
      </c>
      <c r="D21" s="9" t="inlineStr"/>
      <c r="E21" s="8">
        <f>SI(O(C21="";D21="");"";C21*D21)</f>
        <v/>
      </c>
    </row>
    <row r="22">
      <c r="A22" s="7" t="inlineStr"/>
      <c r="B22" s="7">
        <f>SI(A22="";"";BUSCARV(A22;Inventario!$A$2:$C$21;2;FALSO))</f>
        <v/>
      </c>
      <c r="C22" s="8">
        <f>SI(A22="";"";BUSCARV(A22;Inventario!$A$2:$C$21;3;FALSO))</f>
        <v/>
      </c>
      <c r="D22" s="9" t="inlineStr"/>
      <c r="E22" s="8">
        <f>SI(O(C22="";D22="");"";C22*D22)</f>
        <v/>
      </c>
    </row>
    <row r="24">
      <c r="D24" s="10" t="inlineStr">
        <is>
          <t>Subtotal</t>
        </is>
      </c>
      <c r="E24" s="8">
        <f>SUMA(E11:E22)</f>
        <v/>
      </c>
    </row>
    <row r="25">
      <c r="D25" s="10" t="inlineStr">
        <is>
          <t>IVA (13%)</t>
        </is>
      </c>
      <c r="E25" s="8">
        <f>SI(E24="";"";E24*0.13)</f>
        <v/>
      </c>
    </row>
    <row r="26">
      <c r="D26" s="10" t="inlineStr">
        <is>
          <t>Total</t>
        </is>
      </c>
      <c r="E26" s="8">
        <f>SI(E24="";"";E24+E25)</f>
        <v/>
      </c>
    </row>
  </sheetData>
  <mergeCells count="1">
    <mergeCell ref="A1:E1"/>
  </mergeCells>
  <dataValidations count="1">
    <dataValidation sqref="A11:A22" showErrorMessage="1" showDropDown="1" showInputMessage="1" allowBlank="1" type="list">
      <formula1>=Inventario!$A$2:$A$21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2025-10-30T03:06:04Z</dcterms:created>
  <dcterms:modified xmlns:dcterms="http://purl.org/dc/terms/" xmlns:xsi="http://www.w3.org/2001/XMLSchema-instance" xsi:type="dcterms:W3CDTF">2025-10-30T03:06:04Z</dcterms:modified>
</cp:coreProperties>
</file>
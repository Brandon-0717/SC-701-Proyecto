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  <sheet xmlns:r="http://schemas.openxmlformats.org/officeDocument/2006/relationships" name="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Codigo</t>
        </is>
      </c>
      <c r="B1" s="1" t="inlineStr">
        <is>
          <t>Articulo</t>
        </is>
      </c>
      <c r="C1" s="1" t="inlineStr">
        <is>
          <t>PrecioUnitario</t>
        </is>
      </c>
      <c r="D1" s="1" t="inlineStr">
        <is>
          <t>CantidadBodega</t>
        </is>
      </c>
    </row>
    <row r="2">
      <c r="A2" t="inlineStr">
        <is>
          <t>KM001</t>
        </is>
      </c>
      <c r="B2" t="inlineStr">
        <is>
          <t>Brochas (10 piezas)</t>
        </is>
      </c>
      <c r="C2" s="2" t="n">
        <v>6500</v>
      </c>
      <c r="D2" t="n">
        <v>24</v>
      </c>
    </row>
    <row r="3">
      <c r="A3" t="inlineStr">
        <is>
          <t>KM002</t>
        </is>
      </c>
      <c r="B3" t="inlineStr">
        <is>
          <t>Paleta de sombras</t>
        </is>
      </c>
      <c r="C3" s="2" t="n">
        <v>10200</v>
      </c>
      <c r="D3" t="n">
        <v>28</v>
      </c>
    </row>
    <row r="4">
      <c r="A4" t="inlineStr">
        <is>
          <t>KM003</t>
        </is>
      </c>
      <c r="B4" t="inlineStr">
        <is>
          <t>Iluminador</t>
        </is>
      </c>
      <c r="C4" s="2" t="n">
        <v>3500</v>
      </c>
      <c r="D4" t="n">
        <v>22</v>
      </c>
    </row>
    <row r="5">
      <c r="A5" t="inlineStr">
        <is>
          <t>KM004</t>
        </is>
      </c>
      <c r="B5" t="inlineStr">
        <is>
          <t>Base</t>
        </is>
      </c>
      <c r="C5" s="2" t="n">
        <v>7300</v>
      </c>
      <c r="D5" t="n">
        <v>26</v>
      </c>
    </row>
    <row r="6">
      <c r="A6" t="inlineStr">
        <is>
          <t>KM005</t>
        </is>
      </c>
      <c r="B6" t="inlineStr">
        <is>
          <t>Polvos translúcidos</t>
        </is>
      </c>
      <c r="C6" s="2" t="n">
        <v>6500</v>
      </c>
      <c r="D6" t="n">
        <v>25</v>
      </c>
    </row>
    <row r="7">
      <c r="A7" t="inlineStr">
        <is>
          <t>KM006</t>
        </is>
      </c>
      <c r="B7" t="inlineStr">
        <is>
          <t>Polvos compactos</t>
        </is>
      </c>
      <c r="C7" s="2" t="n">
        <v>7000</v>
      </c>
      <c r="D7" t="n">
        <v>20</v>
      </c>
    </row>
    <row r="8">
      <c r="A8" t="inlineStr">
        <is>
          <t>KM007</t>
        </is>
      </c>
      <c r="B8" t="inlineStr">
        <is>
          <t>Gel de cejas</t>
        </is>
      </c>
      <c r="C8" s="2" t="n">
        <v>2500</v>
      </c>
      <c r="D8" t="n">
        <v>30</v>
      </c>
    </row>
    <row r="9">
      <c r="A9" t="inlineStr">
        <is>
          <t>KM008</t>
        </is>
      </c>
      <c r="B9" t="inlineStr">
        <is>
          <t>Gloss</t>
        </is>
      </c>
      <c r="C9" s="2" t="n">
        <v>200</v>
      </c>
      <c r="D9" t="n">
        <v>40</v>
      </c>
    </row>
    <row r="10">
      <c r="A10" t="inlineStr">
        <is>
          <t>KM009</t>
        </is>
      </c>
      <c r="B10" t="inlineStr">
        <is>
          <t>Hidratante de labios</t>
        </is>
      </c>
      <c r="C10" s="2" t="n">
        <v>1800</v>
      </c>
      <c r="D10" t="n">
        <v>32</v>
      </c>
    </row>
    <row r="11">
      <c r="A11" t="inlineStr">
        <is>
          <t>KM010</t>
        </is>
      </c>
      <c r="B11" t="inlineStr">
        <is>
          <t>Sellador de maquillaje</t>
        </is>
      </c>
      <c r="C11" s="2" t="n">
        <v>6300</v>
      </c>
      <c r="D11" t="n">
        <v>18</v>
      </c>
    </row>
    <row r="12">
      <c r="A12" t="inlineStr">
        <is>
          <t>KM011</t>
        </is>
      </c>
      <c r="B12" t="inlineStr">
        <is>
          <t>Corrector</t>
        </is>
      </c>
      <c r="C12" s="2" t="n">
        <v>5500</v>
      </c>
      <c r="D12" t="n">
        <v>27</v>
      </c>
    </row>
    <row r="13">
      <c r="A13" t="inlineStr">
        <is>
          <t>KM012</t>
        </is>
      </c>
      <c r="B13" t="inlineStr">
        <is>
          <t>Rímel</t>
        </is>
      </c>
      <c r="C13" s="2" t="n">
        <v>4800</v>
      </c>
      <c r="D13" t="n">
        <v>29</v>
      </c>
    </row>
    <row r="14">
      <c r="A14" t="inlineStr">
        <is>
          <t>KM013</t>
        </is>
      </c>
      <c r="B14" t="inlineStr">
        <is>
          <t>Enchinador</t>
        </is>
      </c>
      <c r="C14" s="2" t="n">
        <v>4300</v>
      </c>
      <c r="D14" t="n">
        <v>21</v>
      </c>
    </row>
    <row r="15">
      <c r="A15" t="inlineStr">
        <is>
          <t>KM014</t>
        </is>
      </c>
      <c r="B15" t="inlineStr">
        <is>
          <t>Rubor</t>
        </is>
      </c>
      <c r="C15" s="2" t="n">
        <v>4000</v>
      </c>
      <c r="D15" t="n">
        <v>23</v>
      </c>
    </row>
    <row r="16">
      <c r="A16" t="inlineStr">
        <is>
          <t>KM015</t>
        </is>
      </c>
      <c r="B16" t="inlineStr">
        <is>
          <t>Contorno</t>
        </is>
      </c>
      <c r="C16" s="2" t="n">
        <v>4300</v>
      </c>
      <c r="D16" t="n">
        <v>19</v>
      </c>
    </row>
    <row r="17">
      <c r="A17" t="inlineStr">
        <is>
          <t>KM016</t>
        </is>
      </c>
      <c r="B17" t="inlineStr">
        <is>
          <t>Labial</t>
        </is>
      </c>
      <c r="C17" s="2" t="n">
        <v>2000</v>
      </c>
      <c r="D17" t="n">
        <v>35</v>
      </c>
    </row>
    <row r="18">
      <c r="A18" t="inlineStr">
        <is>
          <t>KM017</t>
        </is>
      </c>
      <c r="B18" t="inlineStr">
        <is>
          <t>Delineador</t>
        </is>
      </c>
      <c r="C18" s="2" t="n">
        <v>2100</v>
      </c>
      <c r="D18" t="n">
        <v>31</v>
      </c>
    </row>
    <row r="19">
      <c r="A19" t="inlineStr">
        <is>
          <t>KM018</t>
        </is>
      </c>
      <c r="B19" t="inlineStr">
        <is>
          <t>Sombra para cejas</t>
        </is>
      </c>
      <c r="C19" s="2" t="n">
        <v>2000</v>
      </c>
      <c r="D19" t="n">
        <v>33</v>
      </c>
    </row>
    <row r="20">
      <c r="A20" t="inlineStr">
        <is>
          <t>KM019</t>
        </is>
      </c>
      <c r="B20" t="inlineStr">
        <is>
          <t>Pestañas</t>
        </is>
      </c>
      <c r="C20" s="2" t="n">
        <v>2500</v>
      </c>
      <c r="D20" t="n">
        <v>34</v>
      </c>
    </row>
    <row r="21">
      <c r="A21" t="inlineStr">
        <is>
          <t>KM020</t>
        </is>
      </c>
      <c r="B21" t="inlineStr">
        <is>
          <t>Primer</t>
        </is>
      </c>
      <c r="C21" s="2" t="n">
        <v>4800</v>
      </c>
      <c r="D21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8" customWidth="1" min="3" max="3"/>
    <col width="12" customWidth="1" min="4" max="4"/>
    <col width="20" customWidth="1" min="5" max="5"/>
  </cols>
  <sheetData>
    <row r="1">
      <c r="A1" s="3" t="inlineStr">
        <is>
          <t>Kissmake-up</t>
        </is>
      </c>
    </row>
    <row r="2">
      <c r="A2" t="inlineStr">
        <is>
          <t>San José, Costa Rica • 2222-2222 • ventas@kissmakeup.cr</t>
        </is>
      </c>
    </row>
    <row r="4">
      <c r="A4" t="inlineStr">
        <is>
          <t>Factura No.:</t>
        </is>
      </c>
      <c r="B4" t="inlineStr">
        <is>
          <t>KM-000901</t>
        </is>
      </c>
      <c r="D4" t="inlineStr">
        <is>
          <t>Cliente:</t>
        </is>
      </c>
      <c r="E4" t="inlineStr">
        <is>
          <t>Nombre del Cliente</t>
        </is>
      </c>
    </row>
    <row r="5">
      <c r="A5" t="inlineStr">
        <is>
          <t>Fecha:</t>
        </is>
      </c>
      <c r="B5" t="inlineStr">
        <is>
          <t>2025-10-30</t>
        </is>
      </c>
      <c r="D5" t="inlineStr">
        <is>
          <t>Identificación:</t>
        </is>
      </c>
      <c r="E5" t="inlineStr">
        <is>
          <t>Cédula / N°</t>
        </is>
      </c>
    </row>
    <row r="10">
      <c r="A10" s="4" t="inlineStr">
        <is>
          <t>Código</t>
        </is>
      </c>
      <c r="B10" s="4" t="inlineStr">
        <is>
          <t>Artículo</t>
        </is>
      </c>
      <c r="C10" s="4" t="inlineStr">
        <is>
          <t>Precio unitario</t>
        </is>
      </c>
      <c r="D10" s="4" t="inlineStr">
        <is>
          <t>Cantidad</t>
        </is>
      </c>
      <c r="E10" s="4" t="inlineStr">
        <is>
          <t>Importe</t>
        </is>
      </c>
    </row>
    <row r="11">
      <c r="A11" s="5" t="inlineStr"/>
      <c r="B11" s="5">
        <f>IF(A11="","",VLOOKUP(A11,Inventario!$A$2:$C$21,2,FALSE))</f>
        <v/>
      </c>
      <c r="C11" s="6">
        <f>IF(A11="","",VLOOKUP(A11,Inventario!$A$2:$C$21,3,FALSE))</f>
        <v/>
      </c>
      <c r="D11" s="7" t="inlineStr"/>
      <c r="E11" s="6">
        <f>IF(OR(C11="",D11=""),"",C11*D11)</f>
        <v/>
      </c>
    </row>
    <row r="12">
      <c r="A12" s="5" t="inlineStr"/>
      <c r="B12" s="5">
        <f>IF(A12="","",VLOOKUP(A12,Inventario!$A$2:$C$21,2,FALSE))</f>
        <v/>
      </c>
      <c r="C12" s="6">
        <f>IF(A12="","",VLOOKUP(A12,Inventario!$A$2:$C$21,3,FALSE))</f>
        <v/>
      </c>
      <c r="D12" s="7" t="inlineStr"/>
      <c r="E12" s="6">
        <f>IF(OR(C12="",D12=""),"",C12*D12)</f>
        <v/>
      </c>
    </row>
    <row r="13">
      <c r="A13" s="5" t="inlineStr"/>
      <c r="B13" s="5">
        <f>IF(A13="","",VLOOKUP(A13,Inventario!$A$2:$C$21,2,FALSE))</f>
        <v/>
      </c>
      <c r="C13" s="6">
        <f>IF(A13="","",VLOOKUP(A13,Inventario!$A$2:$C$21,3,FALSE))</f>
        <v/>
      </c>
      <c r="D13" s="7" t="inlineStr"/>
      <c r="E13" s="6">
        <f>IF(OR(C13="",D13=""),"",C13*D13)</f>
        <v/>
      </c>
    </row>
    <row r="14">
      <c r="A14" s="5" t="inlineStr"/>
      <c r="B14" s="5">
        <f>IF(A14="","",VLOOKUP(A14,Inventario!$A$2:$C$21,2,FALSE))</f>
        <v/>
      </c>
      <c r="C14" s="6">
        <f>IF(A14="","",VLOOKUP(A14,Inventario!$A$2:$C$21,3,FALSE))</f>
        <v/>
      </c>
      <c r="D14" s="7" t="inlineStr"/>
      <c r="E14" s="6">
        <f>IF(OR(C14="",D14=""),"",C14*D14)</f>
        <v/>
      </c>
    </row>
    <row r="15">
      <c r="A15" s="5" t="inlineStr"/>
      <c r="B15" s="5">
        <f>IF(A15="","",VLOOKUP(A15,Inventario!$A$2:$C$21,2,FALSE))</f>
        <v/>
      </c>
      <c r="C15" s="6">
        <f>IF(A15="","",VLOOKUP(A15,Inventario!$A$2:$C$21,3,FALSE))</f>
        <v/>
      </c>
      <c r="D15" s="7" t="inlineStr"/>
      <c r="E15" s="6">
        <f>IF(OR(C15="",D15=""),"",C15*D15)</f>
        <v/>
      </c>
    </row>
    <row r="16">
      <c r="A16" s="5" t="inlineStr"/>
      <c r="B16" s="5">
        <f>IF(A16="","",VLOOKUP(A16,Inventario!$A$2:$C$21,2,FALSE))</f>
        <v/>
      </c>
      <c r="C16" s="6">
        <f>IF(A16="","",VLOOKUP(A16,Inventario!$A$2:$C$21,3,FALSE))</f>
        <v/>
      </c>
      <c r="D16" s="7" t="inlineStr"/>
      <c r="E16" s="6">
        <f>IF(OR(C16="",D16=""),"",C16*D16)</f>
        <v/>
      </c>
    </row>
    <row r="17">
      <c r="A17" s="5" t="inlineStr"/>
      <c r="B17" s="5">
        <f>IF(A17="","",VLOOKUP(A17,Inventario!$A$2:$C$21,2,FALSE))</f>
        <v/>
      </c>
      <c r="C17" s="6">
        <f>IF(A17="","",VLOOKUP(A17,Inventario!$A$2:$C$21,3,FALSE))</f>
        <v/>
      </c>
      <c r="D17" s="7" t="inlineStr"/>
      <c r="E17" s="6">
        <f>IF(OR(C17="",D17=""),"",C17*D17)</f>
        <v/>
      </c>
    </row>
    <row r="18">
      <c r="A18" s="5" t="inlineStr"/>
      <c r="B18" s="5">
        <f>IF(A18="","",VLOOKUP(A18,Inventario!$A$2:$C$21,2,FALSE))</f>
        <v/>
      </c>
      <c r="C18" s="6">
        <f>IF(A18="","",VLOOKUP(A18,Inventario!$A$2:$C$21,3,FALSE))</f>
        <v/>
      </c>
      <c r="D18" s="7" t="inlineStr"/>
      <c r="E18" s="6">
        <f>IF(OR(C18="",D18=""),"",C18*D18)</f>
        <v/>
      </c>
    </row>
    <row r="19">
      <c r="A19" s="5" t="inlineStr"/>
      <c r="B19" s="5">
        <f>IF(A19="","",VLOOKUP(A19,Inventario!$A$2:$C$21,2,FALSE))</f>
        <v/>
      </c>
      <c r="C19" s="6">
        <f>IF(A19="","",VLOOKUP(A19,Inventario!$A$2:$C$21,3,FALSE))</f>
        <v/>
      </c>
      <c r="D19" s="7" t="inlineStr"/>
      <c r="E19" s="6">
        <f>IF(OR(C19="",D19=""),"",C19*D19)</f>
        <v/>
      </c>
    </row>
    <row r="20">
      <c r="A20" s="5" t="inlineStr"/>
      <c r="B20" s="5">
        <f>IF(A20="","",VLOOKUP(A20,Inventario!$A$2:$C$21,2,FALSE))</f>
        <v/>
      </c>
      <c r="C20" s="6">
        <f>IF(A20="","",VLOOKUP(A20,Inventario!$A$2:$C$21,3,FALSE))</f>
        <v/>
      </c>
      <c r="D20" s="7" t="inlineStr"/>
      <c r="E20" s="6">
        <f>IF(OR(C20="",D20=""),"",C20*D20)</f>
        <v/>
      </c>
    </row>
    <row r="22">
      <c r="D22" s="8" t="inlineStr">
        <is>
          <t>Subtotal</t>
        </is>
      </c>
      <c r="E22" s="6">
        <f>SUM(E11:E20)</f>
        <v/>
      </c>
    </row>
    <row r="23">
      <c r="D23" s="8" t="inlineStr">
        <is>
          <t>IVA (13%)</t>
        </is>
      </c>
      <c r="E23" s="6">
        <f>IF(E22="","",E22*0.13)</f>
        <v/>
      </c>
    </row>
    <row r="24">
      <c r="D24" s="8" t="inlineStr">
        <is>
          <t>Total</t>
        </is>
      </c>
      <c r="E24" s="6">
        <f>IF(E22="","",E22+E23)</f>
        <v/>
      </c>
    </row>
  </sheetData>
  <dataValidations count="1">
    <dataValidation sqref="A11:A20" showErrorMessage="1" showInputMessage="1" allowBlank="1" type="list">
      <formula1>=Inventario!$A$2:$A$21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2025-10-30T03:06:04Z</dcterms:created>
  <dcterms:modified xmlns:dcterms="http://purl.org/dc/terms/" xmlns:xsi="http://www.w3.org/2001/XMLSchema-instance" xsi:type="dcterms:W3CDTF">2025-10-30T03:06:04Z</dcterms:modified>
</cp:coreProperties>
</file>